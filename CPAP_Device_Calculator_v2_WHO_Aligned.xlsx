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ice-my.sharepoint.com/personal/jm281_rice_edu/Documents/OneDrive/Documents/Rice360/Device Estimation Tool/Device_Estimation_Tool/"/>
    </mc:Choice>
  </mc:AlternateContent>
  <xr:revisionPtr revIDLastSave="6" documentId="8_{8A934A07-FCBF-4604-B68D-F8C8CDEB0775}" xr6:coauthVersionLast="47" xr6:coauthVersionMax="47" xr10:uidLastSave="{F1D91B64-1D55-46D9-A889-6AB2E609BD5C}"/>
  <bookViews>
    <workbookView xWindow="8002" yWindow="-98" windowWidth="19395" windowHeight="10276" firstSheet="1" activeTab="1" xr2:uid="{00000000-000D-0000-FFFF-FFFF00000000}"/>
  </bookViews>
  <sheets>
    <sheet name="How to Use " sheetId="3" r:id="rId1"/>
    <sheet name="CPAP Calculator" sheetId="1" r:id="rId2"/>
    <sheet name="Parameter documentation"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 l="1"/>
  <c r="B24" i="1" s="1"/>
  <c r="B25" i="1" s="1"/>
  <c r="B30" i="1" s="1"/>
  <c r="B26" i="1" l="1"/>
  <c r="B33" i="1" l="1"/>
</calcChain>
</file>

<file path=xl/sharedStrings.xml><?xml version="1.0" encoding="utf-8"?>
<sst xmlns="http://schemas.openxmlformats.org/spreadsheetml/2006/main" count="99" uniqueCount="95">
  <si>
    <t>NEONATAL CPAP DEVICE ESTIMATION TOOL</t>
  </si>
  <si>
    <t>Enter monthly admissions and select level of care</t>
  </si>
  <si>
    <t>USER INPUTS</t>
  </si>
  <si>
    <t>Monthly Admissions:</t>
  </si>
  <si>
    <t>Level of Care:</t>
  </si>
  <si>
    <t>PARAMETERS (editable - change if needed)</t>
  </si>
  <si>
    <t>Level III</t>
  </si>
  <si>
    <t>Eligibility Rate</t>
  </si>
  <si>
    <t>Surge Factor</t>
  </si>
  <si>
    <t>Maintenance Buffer</t>
  </si>
  <si>
    <t>STANDARD ERRORS (for 95% CI)</t>
  </si>
  <si>
    <t>SE Eligibility</t>
  </si>
  <si>
    <t>SE LOS</t>
  </si>
  <si>
    <t>SE Surge</t>
  </si>
  <si>
    <t>CALCULATION BREAKDOWN</t>
  </si>
  <si>
    <t>Daily concurrent demand</t>
  </si>
  <si>
    <t>Peak demand (with surge)</t>
  </si>
  <si>
    <t>With maintenance buffer</t>
  </si>
  <si>
    <t>Standard Error of estimate</t>
  </si>
  <si>
    <t>RESULTS</t>
  </si>
  <si>
    <t>CPAP Devices
Needed:</t>
  </si>
  <si>
    <t>95% Confidence Interval:</t>
  </si>
  <si>
    <t>PARAMETER DOCUMENTATION</t>
  </si>
  <si>
    <t>PARAMETER SOURCES</t>
  </si>
  <si>
    <t>CALCULATION FORMULA</t>
  </si>
  <si>
    <t>95% CONFIDENCE INTERVAL</t>
  </si>
  <si>
    <t>LOS (average days on CPAP)</t>
  </si>
  <si>
    <t>FACILITY SAMPLE</t>
  </si>
  <si>
    <t>By level of care:</t>
  </si>
  <si>
    <t>Step 1: Daily concurrent demand = (Monthly admissions × Eligibility rate × LOS) / 30 Step 2: Peak demand = Daily concurrent × Surge factor Step 3: With maintenance = Peak demand × (1 + Maintenance buffer) Step 4: CPAP needed = ROUNDUP(With maintenance, 0)</t>
  </si>
  <si>
    <t>Calculated using propagation of uncertainty: SE_total = Estimate × √[(SE_elig/Elig)² + (SE_los/LOS)²] 95% CI = Estimate ± 1.96 × SE_total</t>
  </si>
  <si>
    <t>Note: Surge factor (fixed value) does not contribute to uncertainty calculation.</t>
  </si>
  <si>
    <t>DATA QUALITY CONTROLS</t>
  </si>
  <si>
    <t>✓ Coverage validity: All facilities verified ≤100% coverage ✓ Sample size: Minimum 30 eligible patients per facility ✓ Clinical plausibility: Eligibility rates 15-30% (consistent with literature) ✓ Outlier exclusion: Facilities with &gt;85% coverage excluded from calibration</t>
  </si>
  <si>
    <r>
      <rPr>
        <b/>
        <sz val="11"/>
        <color theme="1"/>
        <rFont val="Calibri"/>
        <family val="2"/>
        <scheme val="minor"/>
      </rPr>
      <t>Calibration approach</t>
    </r>
    <r>
      <rPr>
        <sz val="11"/>
        <color theme="1"/>
        <rFont val="Calibri"/>
        <family val="2"/>
        <scheme val="minor"/>
      </rPr>
      <t>: Median eligibility rate across selected facilities. Eligibility determined by weight-stratified clinical criteria (&lt;2000g) or expert opinion rates (≥2000g), with the principle that any baby who received CPAP was eligible (ensures coverage ≤100%).</t>
    </r>
  </si>
  <si>
    <r>
      <rPr>
        <b/>
        <sz val="11"/>
        <color theme="1"/>
        <rFont val="Calibri"/>
        <family val="2"/>
        <scheme val="minor"/>
      </rPr>
      <t xml:space="preserve">Length of Stay (LOS): </t>
    </r>
    <r>
      <rPr>
        <sz val="11"/>
        <color theme="1"/>
        <rFont val="Calibri"/>
        <family val="2"/>
        <scheme val="minor"/>
      </rPr>
      <t>Source: Expert clinical consensus Value: 3.0 days (SE=0.5 days)</t>
    </r>
  </si>
  <si>
    <r>
      <rPr>
        <b/>
        <sz val="11"/>
        <color theme="1"/>
        <rFont val="Calibri"/>
        <family val="2"/>
        <scheme val="minor"/>
      </rPr>
      <t>Rationale</t>
    </r>
    <r>
      <rPr>
        <sz val="11"/>
        <color theme="1"/>
        <rFont val="Calibri"/>
        <family val="2"/>
        <scheme val="minor"/>
      </rPr>
      <t>: Represents typical CPAP treatment duration for neonates requiring respiratory support in low-resource settings across sub-Saharan Africa.</t>
    </r>
  </si>
  <si>
    <r>
      <rPr>
        <b/>
        <sz val="11"/>
        <color theme="1"/>
        <rFont val="Calibri"/>
        <family val="2"/>
        <scheme val="minor"/>
      </rPr>
      <t>Surge Factor</t>
    </r>
    <r>
      <rPr>
        <sz val="11"/>
        <color theme="1"/>
        <rFont val="Calibri"/>
        <family val="2"/>
        <scheme val="minor"/>
      </rPr>
      <t>: Source: Expert clinical consensus Value: 2.0 (100% surge above average demand)</t>
    </r>
  </si>
  <si>
    <r>
      <rPr>
        <b/>
        <sz val="11"/>
        <color theme="1"/>
        <rFont val="Calibri"/>
        <family val="2"/>
        <scheme val="minor"/>
      </rPr>
      <t>Sample</t>
    </r>
    <r>
      <rPr>
        <sz val="11"/>
        <color theme="1"/>
        <rFont val="Calibri"/>
        <family val="2"/>
        <scheme val="minor"/>
      </rPr>
      <t>: ≥30 eligible CPAP patients during study period</t>
    </r>
  </si>
  <si>
    <r>
      <rPr>
        <b/>
        <sz val="11"/>
        <color theme="1"/>
        <rFont val="Calibri"/>
        <family val="2"/>
        <scheme val="minor"/>
      </rPr>
      <t xml:space="preserve">Rationale: </t>
    </r>
    <r>
      <rPr>
        <sz val="11"/>
        <color theme="1"/>
        <rFont val="Calibri"/>
        <family val="2"/>
        <scheme val="minor"/>
      </rPr>
      <t>Accounts for seasonal variation and peak admission periods common in neonatal units.</t>
    </r>
  </si>
  <si>
    <r>
      <rPr>
        <b/>
        <sz val="11"/>
        <color theme="1"/>
        <rFont val="Calibri"/>
        <family val="2"/>
        <scheme val="minor"/>
      </rPr>
      <t xml:space="preserve">Maintenance Buffer: </t>
    </r>
    <r>
      <rPr>
        <sz val="11"/>
        <color theme="1"/>
        <rFont val="Calibri"/>
        <family val="2"/>
        <scheme val="minor"/>
      </rPr>
      <t>Source: Equipment functional rate analysis across NEST360 Phase I facilities Value: 3.4% (equipment downtime for repairs)</t>
    </r>
  </si>
  <si>
    <r>
      <rPr>
        <b/>
        <sz val="11"/>
        <color theme="1"/>
        <rFont val="Calibri"/>
        <family val="2"/>
        <scheme val="minor"/>
      </rPr>
      <t>Rationale:</t>
    </r>
    <r>
      <rPr>
        <sz val="11"/>
        <color theme="1"/>
        <rFont val="Calibri"/>
        <family val="2"/>
        <scheme val="minor"/>
      </rPr>
      <t xml:space="preserve"> Represents average proportion of CPAP devices non-functional at any given time due to repairs, maintenance, and calibration needs.</t>
    </r>
  </si>
  <si>
    <r>
      <rPr>
        <b/>
        <sz val="11"/>
        <color theme="1"/>
        <rFont val="Calibri"/>
        <family val="2"/>
        <scheme val="minor"/>
      </rPr>
      <t>Total facilities included</t>
    </r>
    <r>
      <rPr>
        <sz val="11"/>
        <color theme="1"/>
        <rFont val="Calibri"/>
        <family val="2"/>
        <scheme val="minor"/>
      </rPr>
      <t>: 40 across 5 countries (Malawi, Kenya, Tanzania, Nigeria, Ethiopia) Data period: January 2021 - December 2025 (Ethiopia excludes 2024) Inclusion criteria:</t>
    </r>
  </si>
  <si>
    <r>
      <rPr>
        <b/>
        <sz val="11"/>
        <color theme="1"/>
        <rFont val="Calibri"/>
        <family val="2"/>
        <scheme val="minor"/>
      </rPr>
      <t>Rationale:</t>
    </r>
    <r>
      <rPr>
        <sz val="11"/>
        <color theme="1"/>
        <rFont val="Calibri"/>
        <family val="2"/>
        <scheme val="minor"/>
      </rPr>
      <t xml:space="preserve"> Excludes low-coverage facilities (&lt;40%) where documentation may be incomplete, and high-coverage facilities (&gt;85%) where eligibility estimates become artificially inflated.</t>
    </r>
  </si>
  <si>
    <t>HOW TO USE THIS CALCULATOR</t>
  </si>
  <si>
    <t>STEP 1: Enter Your Facility Information</t>
  </si>
  <si>
    <r>
      <t>Monthly Admissions:</t>
    </r>
    <r>
      <rPr>
        <sz val="11"/>
        <color theme="1"/>
        <rFont val="Calibri"/>
        <family val="2"/>
        <scheme val="minor"/>
      </rPr>
      <t xml:space="preserve"> Enter the average number of babies admitted to your neonatal unit per month</t>
    </r>
  </si>
  <si>
    <r>
      <t>Level of Care:</t>
    </r>
    <r>
      <rPr>
        <sz val="11"/>
        <color theme="1"/>
        <rFont val="Calibri"/>
        <family val="2"/>
        <scheme val="minor"/>
      </rPr>
      <t xml:space="preserve"> Select your facility type from the dropdown:</t>
    </r>
  </si>
  <si>
    <t>Level III: Tertiary/referral centers, teaching hospitals</t>
  </si>
  <si>
    <r>
      <t>STEP 2: Review the Results</t>
    </r>
    <r>
      <rPr>
        <sz val="11"/>
        <color theme="1"/>
        <rFont val="Calibri"/>
        <family val="2"/>
        <scheme val="minor"/>
      </rPr>
      <t xml:space="preserve"> The calculator automatically shows:</t>
    </r>
  </si>
  <si>
    <r>
      <t>CPAP Devices Needed:</t>
    </r>
    <r>
      <rPr>
        <sz val="11"/>
        <color theme="1"/>
        <rFont val="Calibri"/>
        <family val="2"/>
        <scheme val="minor"/>
      </rPr>
      <t xml:space="preserve"> The recommended number of CPAP devices for your facility</t>
    </r>
  </si>
  <si>
    <r>
      <t>95% Confidence Interval:</t>
    </r>
    <r>
      <rPr>
        <sz val="11"/>
        <color theme="1"/>
        <rFont val="Calibri"/>
        <family val="2"/>
        <scheme val="minor"/>
      </rPr>
      <t xml:space="preserve"> The range of devices needed (e.g., 4-8 devices)</t>
    </r>
  </si>
  <si>
    <t>The lower number represents minimum capacity</t>
  </si>
  <si>
    <t>The upper number provides buffer for high-demand periods</t>
  </si>
  <si>
    <t>STEP 3: Interpret the Range</t>
  </si>
  <si>
    <r>
      <t>Procurement planning:</t>
    </r>
    <r>
      <rPr>
        <sz val="11"/>
        <color theme="1"/>
        <rFont val="Calibri"/>
        <family val="2"/>
        <scheme val="minor"/>
      </rPr>
      <t xml:space="preserve"> Use the upper bound to ensure adequate capacity</t>
    </r>
  </si>
  <si>
    <r>
      <t>Budget scenarios:</t>
    </r>
    <r>
      <rPr>
        <sz val="11"/>
        <color theme="1"/>
        <rFont val="Calibri"/>
        <family val="2"/>
        <scheme val="minor"/>
      </rPr>
      <t xml:space="preserve"> Use the range to develop minimum/optimal budgets</t>
    </r>
  </si>
  <si>
    <r>
      <t>Phased implementation:</t>
    </r>
    <r>
      <rPr>
        <sz val="11"/>
        <color theme="1"/>
        <rFont val="Calibri"/>
        <family val="2"/>
        <scheme val="minor"/>
      </rPr>
      <t xml:space="preserve"> Start with the lower estimate, expand toward upper bound</t>
    </r>
  </si>
  <si>
    <r>
      <t>OPTIONAL: Adjust Parameters</t>
    </r>
    <r>
      <rPr>
        <sz val="11"/>
        <color theme="1"/>
        <rFont val="Calibri"/>
        <family val="2"/>
        <scheme val="minor"/>
      </rPr>
      <t xml:space="preserve"> If your facility has different characteristics, you can modify:</t>
    </r>
  </si>
  <si>
    <t>Eligibility rate (if you have local data on CPAP need)</t>
  </si>
  <si>
    <t>Length of stay (if your treatment protocols differ)</t>
  </si>
  <si>
    <t>Surge factor (if you experience different seasonal patterns)</t>
  </si>
  <si>
    <t>EXAMPLE:</t>
  </si>
  <si>
    <t>Monthly Admissions: 150</t>
  </si>
  <si>
    <t>Result: 6 CPAP devices (95% CI: 4-8 devices)</t>
  </si>
  <si>
    <t xml:space="preserve">Interpretation: Your facility needs approximately 6 CPAP devices. </t>
  </si>
  <si>
    <t>Plan for 4-8 devices depending on budget and seasonal variation.</t>
  </si>
  <si>
    <t>IMPORTANT NOTES:</t>
  </si>
  <si>
    <t>Local factors (referral patterns, protocols) may require adjustment</t>
  </si>
  <si>
    <t>Consult with clinical teams before finalizing procurement decisions</t>
  </si>
  <si>
    <t>LEVELS OF CARE - FACILITY LEVEL CLASSIFICATION</t>
  </si>
  <si>
    <t>This tool categorizes facilities into three levels based on WHO's framework for inpatient neonatal care. All three levels provide CPAP, which is classified by WHO as a special care intervention at the secondary (Level II) health system level.</t>
  </si>
  <si>
    <t xml:space="preserve">  Small district hospitals, mission hospitals, and CHAM facilities providing basic special newborn care. These facilities are meant to have CPAP, oxygen delivery systems,   intravenous fluids, antibiotics, phototherapy, and kangaroo mother care. They are meant to have basic diagnostics (glucometer) but limited laboratory capacity and no mechanical ventilation.</t>
  </si>
  <si>
    <t xml:space="preserve">  </t>
  </si>
  <si>
    <t xml:space="preserve">  Large secondary, county and regional referral hospitals aiming to provide comprehensive special newborn care. These facilities are meant to have all Level II-Basic capabilities plus mobile   X-ray, blood transfusion services, more advanced diagnostics, and specialized   nursing staff available 24/7. Some may be transitioning toward intensive care capabilities</t>
  </si>
  <si>
    <t>WHO Reference: WHO (2020). Standards for improving the quality of care for small and sick newborns in health facilities. Pages 59-60 (Figure 3.2).</t>
  </si>
  <si>
    <t xml:space="preserve">https://iris.who.int/server/api/core/bitstreams/dc4ffcca-8e21-403f-841a-75f37c44028d/content  </t>
  </si>
  <si>
    <r>
      <rPr>
        <b/>
        <sz val="11"/>
        <rFont val="Calibri"/>
        <family val="2"/>
      </rPr>
      <t>Note</t>
    </r>
    <r>
      <rPr>
        <sz val="11"/>
        <rFont val="Calibri"/>
        <family val="2"/>
      </rPr>
      <t>: Both Level II-Basic and Level II-Comprehensive correspond to WHO Level II (special care) but differ in scope and resource availability. This distinction is clinically important because CPAP eligibility rates differ between these facility types (17.8% vs 16.4%), likely reflecting differences in case mix severity, catchment population size, and referral patterns.</t>
    </r>
  </si>
  <si>
    <t xml:space="preserve">&gt; Level II-Comprehensive (WHO: Secondary - Special Care)  </t>
  </si>
  <si>
    <t>&gt; Level II-Basic (WHO: Secondary - Special Care)</t>
  </si>
  <si>
    <t>Zonal hospitals, teaching hospitals, and national referral centers aiming to provide   intensive newborn care. These facilities would have mechanical ventilation, surfactant   therapy, specialized neonatology staff 24/7, pediatric surgery, total parenteral  nutrition (TPN), retinopathy of prematurity (ROP) screening, and subspecialty services</t>
  </si>
  <si>
    <t xml:space="preserve">&gt; Level III (WHO: Tertiary - Intensive Care):  </t>
  </si>
  <si>
    <r>
      <rPr>
        <b/>
        <sz val="11"/>
        <color theme="1"/>
        <rFont val="Calibri"/>
        <family val="2"/>
        <scheme val="minor"/>
      </rPr>
      <t>Eligibility Rate by Level of Care</t>
    </r>
    <r>
      <rPr>
        <sz val="11"/>
        <color theme="1"/>
        <rFont val="Calibri"/>
        <family val="2"/>
        <scheme val="minor"/>
      </rPr>
      <t>: Source: Facilities with moderate-to-good CPAP coverage (Level II-Basic/Level II-Comprehensive: 40-85%, Level III: 50-85%) Level I-Basic: 17.8% (SE=0.97%, n=11 facilities, coverage range 46-80%) Level II-Comprehensive: 16.4% (SE=1.07%, n=23 facilities, coverage range 41-83%) Level III: 27.9% (SE=3.33%, n=6 facilities, coverage range 51-85%)</t>
    </r>
  </si>
  <si>
    <r>
      <rPr>
        <b/>
        <sz val="11"/>
        <color theme="1"/>
        <rFont val="Calibri"/>
        <family val="2"/>
        <scheme val="minor"/>
      </rPr>
      <t>Coverage thresholds used</t>
    </r>
    <r>
      <rPr>
        <sz val="11"/>
        <color theme="1"/>
        <rFont val="Calibri"/>
        <family val="2"/>
        <scheme val="minor"/>
      </rPr>
      <t>: CPAP coverage 40-85% (Level II-Basic/II-Comprehensive) or 50-85% (Level III)</t>
    </r>
  </si>
  <si>
    <t>Level II-Basic (community/district): 11 facilities</t>
  </si>
  <si>
    <t>Level II-Comprehensive (regional/secondary/referral): 23 facilities</t>
  </si>
  <si>
    <t>Level III (teaching/specialized/tertiary): 6 facilities</t>
  </si>
  <si>
    <t>Level II-Basic: Community/mission hospitals, district facilities</t>
  </si>
  <si>
    <t>Level II-Comprehensive: Regional hospitals, secondary care facilities</t>
  </si>
  <si>
    <t>Level of Care: Level II-Comprehensive</t>
  </si>
  <si>
    <r>
      <t xml:space="preserve">This calculator estimates devices for </t>
    </r>
    <r>
      <rPr>
        <b/>
        <i/>
        <sz val="11"/>
        <color theme="1"/>
        <rFont val="Calibri"/>
        <family val="2"/>
        <scheme val="minor"/>
      </rPr>
      <t>continuous operation</t>
    </r>
    <r>
      <rPr>
        <i/>
        <sz val="11"/>
        <color theme="1"/>
        <rFont val="Calibri"/>
        <family val="2"/>
        <scheme val="minor"/>
      </rPr>
      <t xml:space="preserve"> (24/7 availability)</t>
    </r>
  </si>
  <si>
    <r>
      <t xml:space="preserve">Results assume </t>
    </r>
    <r>
      <rPr>
        <b/>
        <i/>
        <sz val="11"/>
        <color theme="1"/>
        <rFont val="Calibri"/>
        <family val="2"/>
        <scheme val="minor"/>
      </rPr>
      <t>typical case mix</t>
    </r>
    <r>
      <rPr>
        <i/>
        <sz val="11"/>
        <color theme="1"/>
        <rFont val="Calibri"/>
        <family val="2"/>
        <scheme val="minor"/>
      </rPr>
      <t xml:space="preserve"> for your level of care</t>
    </r>
  </si>
  <si>
    <t>Level II-Basic</t>
  </si>
  <si>
    <t>Level II-Comprehensive</t>
  </si>
  <si>
    <t>Facility Level Guide:
&gt; Level II-Basic: Small district, mission, CHAM hospitals (basic special care, limited lab)
&gt; Level II-Comprehensive: Large district, regional hospitals (comprehensive special care, mobile X-ray, transfusion)
&gt; Level III: Tertiary, national, teaching hospitals (intensive care, mechanical ventilation,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</si>
</sst>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23">
    <font>
      <sz val="11"/>
      <color theme="1"/>
      <name val="Calibri"/>
      <family val="2"/>
      <scheme val="minor"/>
    </font>
    <font>
      <b/>
      <sz val="16"/>
      <color rgb="FFFFFFFF"/>
      <name val="Calibri"/>
    </font>
    <font>
      <i/>
      <sz val="11"/>
      <name val="Calibri"/>
    </font>
    <font>
      <b/>
      <sz val="11"/>
      <color rgb="FFFFFFFF"/>
      <name val="Calibri"/>
    </font>
    <font>
      <b/>
      <sz val="11"/>
      <name val="Calibri"/>
    </font>
    <font>
      <i/>
      <sz val="9"/>
      <color rgb="FF666666"/>
      <name val="Calibri"/>
    </font>
    <font>
      <sz val="9"/>
      <color rgb="FF666666"/>
      <name val="Calibri"/>
    </font>
    <font>
      <i/>
      <sz val="9"/>
      <name val="Calibri"/>
    </font>
    <font>
      <sz val="9"/>
      <name val="Calibri"/>
    </font>
    <font>
      <b/>
      <sz val="14"/>
      <color rgb="FFFFFFFF"/>
      <name val="Calibri"/>
    </font>
    <font>
      <b/>
      <sz val="12"/>
      <name val="Calibri"/>
    </font>
    <font>
      <b/>
      <sz val="24"/>
      <color rgb="FFFFFFFF"/>
      <name val="Calibri"/>
    </font>
    <font>
      <b/>
      <sz val="11"/>
      <name val="Calibri"/>
    </font>
    <font>
      <b/>
      <sz val="12"/>
      <color rgb="FF1F4E78"/>
      <name val="Calibri"/>
    </font>
    <font>
      <b/>
      <sz val="11"/>
      <color theme="1"/>
      <name val="Calibri"/>
      <family val="2"/>
      <scheme val="minor"/>
    </font>
    <font>
      <u/>
      <sz val="11"/>
      <color theme="10"/>
      <name val="Calibri"/>
      <family val="2"/>
      <scheme val="minor"/>
    </font>
    <font>
      <b/>
      <sz val="11"/>
      <name val="Calibri"/>
      <family val="2"/>
    </font>
    <font>
      <sz val="11"/>
      <name val="Calibri"/>
      <family val="2"/>
    </font>
    <font>
      <b/>
      <sz val="11"/>
      <color rgb="FFFF0000"/>
      <name val="Calibri"/>
      <family val="2"/>
    </font>
    <font>
      <i/>
      <sz val="10"/>
      <color theme="1"/>
      <name val="Arial Unicode MS"/>
    </font>
    <font>
      <i/>
      <sz val="11"/>
      <color theme="1"/>
      <name val="Calibri"/>
      <family val="2"/>
      <scheme val="minor"/>
    </font>
    <font>
      <b/>
      <i/>
      <sz val="11"/>
      <color theme="1"/>
      <name val="Calibri"/>
      <family val="2"/>
      <scheme val="minor"/>
    </font>
    <font>
      <b/>
      <sz val="11"/>
      <color theme="5"/>
      <name val="Calibri"/>
      <family val="2"/>
      <scheme val="minor"/>
    </font>
  </fonts>
  <fills count="7">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FFF2CC"/>
        <bgColor rgb="FFFFF2CC"/>
      </patternFill>
    </fill>
    <fill>
      <patternFill patternType="solid">
        <fgColor rgb="FFE7E6E6"/>
        <bgColor rgb="FFE7E6E6"/>
      </patternFill>
    </fill>
    <fill>
      <patternFill patternType="solid">
        <fgColor rgb="FF70AD47"/>
        <bgColor rgb="FF70AD47"/>
      </patternFill>
    </fill>
  </fills>
  <borders count="3">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s>
  <cellStyleXfs count="2">
    <xf numFmtId="0" fontId="0" fillId="0" borderId="0"/>
    <xf numFmtId="0" fontId="15" fillId="0" borderId="0" applyNumberFormat="0" applyFill="0" applyBorder="0" applyAlignment="0" applyProtection="0"/>
  </cellStyleXfs>
  <cellXfs count="49">
    <xf numFmtId="0" fontId="0" fillId="0" borderId="0" xfId="0"/>
    <xf numFmtId="0" fontId="0" fillId="4" borderId="1" xfId="0" applyFill="1" applyBorder="1"/>
    <xf numFmtId="0" fontId="4" fillId="0" borderId="0" xfId="0" applyFont="1" applyAlignment="1">
      <alignment horizontal="center"/>
    </xf>
    <xf numFmtId="164" fontId="0" fillId="5" borderId="1" xfId="0" applyNumberFormat="1" applyFill="1" applyBorder="1" applyAlignment="1">
      <alignment horizontal="center"/>
    </xf>
    <xf numFmtId="2" fontId="0" fillId="5" borderId="1" xfId="0" applyNumberFormat="1" applyFill="1" applyBorder="1" applyAlignment="1">
      <alignment horizontal="center"/>
    </xf>
    <xf numFmtId="0" fontId="5" fillId="0" borderId="0" xfId="0" applyFont="1"/>
    <xf numFmtId="0" fontId="6" fillId="0" borderId="0" xfId="0" applyFont="1" applyAlignment="1">
      <alignment horizontal="center"/>
    </xf>
    <xf numFmtId="0" fontId="6" fillId="0" borderId="0" xfId="0" applyFont="1"/>
    <xf numFmtId="165" fontId="6" fillId="0" borderId="0" xfId="0" applyNumberFormat="1" applyFont="1" applyAlignment="1">
      <alignment horizontal="center"/>
    </xf>
    <xf numFmtId="2" fontId="0" fillId="0" borderId="0" xfId="0" applyNumberFormat="1"/>
    <xf numFmtId="0" fontId="7" fillId="0" borderId="0" xfId="0" applyFont="1"/>
    <xf numFmtId="2" fontId="8" fillId="0" borderId="0" xfId="0" applyNumberFormat="1" applyFont="1"/>
    <xf numFmtId="0" fontId="12" fillId="0" borderId="0" xfId="0" applyFont="1" applyAlignment="1">
      <alignment horizontal="right"/>
    </xf>
    <xf numFmtId="0" fontId="14" fillId="0" borderId="0" xfId="0" applyFont="1"/>
    <xf numFmtId="0" fontId="0" fillId="0" borderId="0" xfId="0" applyAlignment="1">
      <alignment horizontal="left" vertical="center" indent="1"/>
    </xf>
    <xf numFmtId="0" fontId="0" fillId="0" borderId="0" xfId="0" applyAlignment="1">
      <alignment vertical="top" wrapText="1"/>
    </xf>
    <xf numFmtId="0" fontId="0" fillId="0" borderId="0" xfId="0" applyAlignment="1">
      <alignment vertical="top"/>
    </xf>
    <xf numFmtId="0" fontId="14" fillId="0" borderId="0" xfId="0" applyFont="1" applyAlignment="1">
      <alignment horizontal="left" vertical="center" indent="1"/>
    </xf>
    <xf numFmtId="0" fontId="0" fillId="0" borderId="0" xfId="0" applyAlignment="1">
      <alignment horizontal="left" vertical="center" indent="2"/>
    </xf>
    <xf numFmtId="0" fontId="14" fillId="0" borderId="0" xfId="0" applyFont="1" applyAlignment="1">
      <alignment vertical="top"/>
    </xf>
    <xf numFmtId="0" fontId="0" fillId="0" borderId="0" xfId="0" applyAlignment="1">
      <alignment horizontal="center" vertical="top" wrapText="1"/>
    </xf>
    <xf numFmtId="0" fontId="0" fillId="0" borderId="0" xfId="0" applyAlignment="1">
      <alignment horizontal="left" vertical="top"/>
    </xf>
    <xf numFmtId="0" fontId="0" fillId="0" borderId="0" xfId="0" applyAlignment="1">
      <alignment horizontal="left" vertical="top" wrapText="1"/>
    </xf>
    <xf numFmtId="0" fontId="14" fillId="0" borderId="0" xfId="0" applyFont="1" applyAlignment="1">
      <alignment vertical="top" wrapText="1"/>
    </xf>
    <xf numFmtId="0" fontId="16" fillId="0" borderId="0" xfId="0" applyFont="1" applyAlignment="1">
      <alignment vertical="top"/>
    </xf>
    <xf numFmtId="0" fontId="17" fillId="0" borderId="0" xfId="0" applyFont="1" applyAlignment="1">
      <alignment horizontal="left" vertical="top" wrapText="1"/>
    </xf>
    <xf numFmtId="0" fontId="18" fillId="0" borderId="0" xfId="0" applyFont="1" applyAlignment="1">
      <alignment vertical="top"/>
    </xf>
    <xf numFmtId="0" fontId="17" fillId="0" borderId="0" xfId="0" applyFont="1" applyAlignment="1">
      <alignment horizontal="left" vertical="top"/>
    </xf>
    <xf numFmtId="0" fontId="17" fillId="0" borderId="0" xfId="0" applyFont="1" applyAlignment="1">
      <alignment vertical="top"/>
    </xf>
    <xf numFmtId="0" fontId="17" fillId="0" borderId="0" xfId="0" applyFont="1" applyAlignment="1">
      <alignment horizontal="left" vertical="top" wrapText="1" indent="2"/>
    </xf>
    <xf numFmtId="0" fontId="17" fillId="0" borderId="0" xfId="0" applyFont="1" applyAlignment="1">
      <alignment horizontal="left" vertical="top" wrapText="1" indent="3"/>
    </xf>
    <xf numFmtId="0" fontId="16" fillId="0" borderId="0" xfId="0" applyFont="1" applyAlignment="1">
      <alignment vertical="top" wrapText="1"/>
    </xf>
    <xf numFmtId="0" fontId="15" fillId="0" borderId="0" xfId="1" applyAlignment="1">
      <alignment vertical="top"/>
    </xf>
    <xf numFmtId="0" fontId="17" fillId="0" borderId="0" xfId="0" applyFont="1" applyAlignment="1">
      <alignment vertical="top" wrapText="1"/>
    </xf>
    <xf numFmtId="0" fontId="18" fillId="0" borderId="0" xfId="0" applyFont="1" applyAlignment="1">
      <alignment horizontal="left" vertical="top"/>
    </xf>
    <xf numFmtId="0" fontId="19" fillId="0" borderId="0" xfId="0" applyFont="1" applyAlignment="1">
      <alignment horizontal="left" vertical="center" indent="3"/>
    </xf>
    <xf numFmtId="0" fontId="20" fillId="0" borderId="0" xfId="0" applyFont="1" applyAlignment="1">
      <alignment horizontal="left" vertical="center" indent="4"/>
    </xf>
    <xf numFmtId="0" fontId="16" fillId="0" borderId="0" xfId="0" applyFont="1" applyAlignment="1">
      <alignment horizontal="center"/>
    </xf>
    <xf numFmtId="0" fontId="22" fillId="0" borderId="0" xfId="0" applyFont="1"/>
    <xf numFmtId="0" fontId="13" fillId="0" borderId="0" xfId="0" applyFont="1" applyAlignment="1">
      <alignment horizontal="center"/>
    </xf>
    <xf numFmtId="0" fontId="0" fillId="0" borderId="0" xfId="0"/>
    <xf numFmtId="0" fontId="3" fillId="3" borderId="0" xfId="0" applyFont="1" applyFill="1"/>
    <xf numFmtId="0" fontId="10" fillId="0" borderId="0" xfId="0" applyFont="1" applyAlignment="1">
      <alignment horizontal="center" vertical="center" wrapText="1"/>
    </xf>
    <xf numFmtId="0" fontId="0" fillId="0" borderId="0" xfId="0" applyAlignment="1">
      <alignment horizontal="center"/>
    </xf>
    <xf numFmtId="0" fontId="2" fillId="0" borderId="0" xfId="0" applyFont="1" applyAlignment="1">
      <alignment horizontal="center"/>
    </xf>
    <xf numFmtId="0" fontId="1" fillId="2" borderId="0" xfId="0" applyFont="1" applyFill="1" applyAlignment="1">
      <alignment horizontal="center" vertical="center"/>
    </xf>
    <xf numFmtId="0" fontId="9" fillId="6" borderId="0" xfId="0" applyFont="1" applyFill="1" applyAlignment="1">
      <alignment horizontal="center"/>
    </xf>
    <xf numFmtId="0" fontId="11" fillId="6" borderId="2" xfId="0" applyFont="1" applyFill="1" applyBorder="1" applyAlignment="1">
      <alignment horizontal="center" vertical="center"/>
    </xf>
    <xf numFmtId="0" fontId="0" fillId="0" borderId="0" xfId="0" applyAlignment="1">
      <alignment horizontal="left" vertical="top" wrapText="1" readingOrder="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23812</xdr:colOff>
      <xdr:row>4</xdr:row>
      <xdr:rowOff>928688</xdr:rowOff>
    </xdr:from>
    <xdr:to>
      <xdr:col>9</xdr:col>
      <xdr:colOff>600074</xdr:colOff>
      <xdr:row>7</xdr:row>
      <xdr:rowOff>76200</xdr:rowOff>
    </xdr:to>
    <xdr:grpSp>
      <xdr:nvGrpSpPr>
        <xdr:cNvPr id="5" name="Group 4">
          <a:extLst>
            <a:ext uri="{FF2B5EF4-FFF2-40B4-BE49-F238E27FC236}">
              <a16:creationId xmlns:a16="http://schemas.microsoft.com/office/drawing/2014/main" id="{4C2067AB-1F2A-895B-B4FC-8479AEC07FC3}"/>
            </a:ext>
          </a:extLst>
        </xdr:cNvPr>
        <xdr:cNvGrpSpPr/>
      </xdr:nvGrpSpPr>
      <xdr:grpSpPr>
        <a:xfrm>
          <a:off x="4595812" y="1881188"/>
          <a:ext cx="5662612" cy="547688"/>
          <a:chOff x="3571874" y="966788"/>
          <a:chExt cx="4614864" cy="671512"/>
        </a:xfrm>
      </xdr:grpSpPr>
      <xdr:pic>
        <xdr:nvPicPr>
          <xdr:cNvPr id="3" name="Graphic 2" descr="Arrow: Straight with solid fill">
            <a:extLst>
              <a:ext uri="{FF2B5EF4-FFF2-40B4-BE49-F238E27FC236}">
                <a16:creationId xmlns:a16="http://schemas.microsoft.com/office/drawing/2014/main" id="{99F59E5B-0B73-FF94-A45B-7F10EFD33D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71874" y="981075"/>
            <a:ext cx="3224214" cy="633412"/>
          </a:xfrm>
          <a:prstGeom prst="rect">
            <a:avLst/>
          </a:prstGeom>
        </xdr:spPr>
      </xdr:pic>
      <xdr:sp macro="" textlink="">
        <xdr:nvSpPr>
          <xdr:cNvPr id="4" name="Rectangle: Rounded Corners 3">
            <a:extLst>
              <a:ext uri="{FF2B5EF4-FFF2-40B4-BE49-F238E27FC236}">
                <a16:creationId xmlns:a16="http://schemas.microsoft.com/office/drawing/2014/main" id="{7C47AED6-7AC4-EB3A-D10D-6F6B8A3A9573}"/>
              </a:ext>
            </a:extLst>
          </xdr:cNvPr>
          <xdr:cNvSpPr/>
        </xdr:nvSpPr>
        <xdr:spPr>
          <a:xfrm>
            <a:off x="5257800" y="966788"/>
            <a:ext cx="2928938" cy="671512"/>
          </a:xfrm>
          <a:prstGeom prst="roundRect">
            <a:avLst>
              <a:gd name="adj" fmla="val 18485"/>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t>1) Enter average monthly admissions.</a:t>
            </a:r>
          </a:p>
          <a:p>
            <a:r>
              <a:rPr lang="en-US"/>
              <a:t>2) Select neonatal care level (WHO classification).</a:t>
            </a:r>
          </a:p>
        </xdr:txBody>
      </xdr:sp>
    </xdr:grpSp>
    <xdr:clientData/>
  </xdr:twoCellAnchor>
  <xdr:twoCellAnchor>
    <xdr:from>
      <xdr:col>4</xdr:col>
      <xdr:colOff>371475</xdr:colOff>
      <xdr:row>27</xdr:row>
      <xdr:rowOff>85725</xdr:rowOff>
    </xdr:from>
    <xdr:to>
      <xdr:col>10</xdr:col>
      <xdr:colOff>552745</xdr:colOff>
      <xdr:row>32</xdr:row>
      <xdr:rowOff>166688</xdr:rowOff>
    </xdr:to>
    <xdr:grpSp>
      <xdr:nvGrpSpPr>
        <xdr:cNvPr id="8" name="Group 7">
          <a:extLst>
            <a:ext uri="{FF2B5EF4-FFF2-40B4-BE49-F238E27FC236}">
              <a16:creationId xmlns:a16="http://schemas.microsoft.com/office/drawing/2014/main" id="{4CF2EFE2-B0FE-FC4C-08CB-C211ABDD6F87}"/>
            </a:ext>
          </a:extLst>
        </xdr:cNvPr>
        <xdr:cNvGrpSpPr/>
      </xdr:nvGrpSpPr>
      <xdr:grpSpPr>
        <a:xfrm>
          <a:off x="6981825" y="6496051"/>
          <a:ext cx="3838870" cy="1652587"/>
          <a:chOff x="5038725" y="5600700"/>
          <a:chExt cx="3838870" cy="1652588"/>
        </a:xfrm>
      </xdr:grpSpPr>
      <xdr:sp macro="" textlink="">
        <xdr:nvSpPr>
          <xdr:cNvPr id="6" name="Right Brace 5">
            <a:extLst>
              <a:ext uri="{FF2B5EF4-FFF2-40B4-BE49-F238E27FC236}">
                <a16:creationId xmlns:a16="http://schemas.microsoft.com/office/drawing/2014/main" id="{FB60FE4E-58AF-A43D-1036-6DB56DF03447}"/>
              </a:ext>
            </a:extLst>
          </xdr:cNvPr>
          <xdr:cNvSpPr/>
        </xdr:nvSpPr>
        <xdr:spPr>
          <a:xfrm>
            <a:off x="5038725" y="5600700"/>
            <a:ext cx="995363" cy="1652588"/>
          </a:xfrm>
          <a:prstGeom prst="rightBrace">
            <a:avLst/>
          </a:prstGeom>
          <a:noFill/>
          <a:ln w="50800">
            <a:solidFill>
              <a:schemeClr val="accent2"/>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1EFCC211-58BD-4C48-82CE-F09EE8734400}"/>
              </a:ext>
            </a:extLst>
          </xdr:cNvPr>
          <xdr:cNvSpPr/>
        </xdr:nvSpPr>
        <xdr:spPr>
          <a:xfrm>
            <a:off x="5734050" y="6153149"/>
            <a:ext cx="3143545" cy="52863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t>Your</a:t>
            </a:r>
            <a:r>
              <a:rPr lang="en-US" baseline="0"/>
              <a:t> estimated devices (including range) will appear here.</a:t>
            </a:r>
            <a:endParaRPr lang="en-US"/>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iris.who.int/server/api/core/bitstreams/dc4ffcca-8e21-403f-841a-75f37c44028d/cont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EC8FF-BC89-4EF7-9964-4F2F5946ABD1}">
  <dimension ref="B1:B39"/>
  <sheetViews>
    <sheetView workbookViewId="0">
      <selection activeCell="A19" sqref="A19:XFD19"/>
    </sheetView>
  </sheetViews>
  <sheetFormatPr defaultRowHeight="15"/>
  <sheetData>
    <row r="1" spans="2:2">
      <c r="B1" s="13" t="s">
        <v>44</v>
      </c>
    </row>
    <row r="3" spans="2:2">
      <c r="B3" s="13" t="s">
        <v>45</v>
      </c>
    </row>
    <row r="4" spans="2:2">
      <c r="B4" s="14"/>
    </row>
    <row r="5" spans="2:2">
      <c r="B5" s="17" t="s">
        <v>46</v>
      </c>
    </row>
    <row r="6" spans="2:2">
      <c r="B6" s="17" t="s">
        <v>47</v>
      </c>
    </row>
    <row r="7" spans="2:2">
      <c r="B7" s="18" t="s">
        <v>87</v>
      </c>
    </row>
    <row r="8" spans="2:2">
      <c r="B8" s="18" t="s">
        <v>88</v>
      </c>
    </row>
    <row r="9" spans="2:2">
      <c r="B9" s="18" t="s">
        <v>48</v>
      </c>
    </row>
    <row r="11" spans="2:2">
      <c r="B11" s="13" t="s">
        <v>49</v>
      </c>
    </row>
    <row r="12" spans="2:2">
      <c r="B12" s="14"/>
    </row>
    <row r="13" spans="2:2">
      <c r="B13" s="17" t="s">
        <v>50</v>
      </c>
    </row>
    <row r="14" spans="2:2">
      <c r="B14" s="17" t="s">
        <v>51</v>
      </c>
    </row>
    <row r="15" spans="2:2">
      <c r="B15" s="18" t="s">
        <v>52</v>
      </c>
    </row>
    <row r="16" spans="2:2">
      <c r="B16" s="18" t="s">
        <v>53</v>
      </c>
    </row>
    <row r="18" spans="2:2">
      <c r="B18" s="13" t="s">
        <v>54</v>
      </c>
    </row>
    <row r="19" spans="2:2">
      <c r="B19" s="17" t="s">
        <v>55</v>
      </c>
    </row>
    <row r="20" spans="2:2">
      <c r="B20" s="17" t="s">
        <v>56</v>
      </c>
    </row>
    <row r="21" spans="2:2">
      <c r="B21" s="17" t="s">
        <v>57</v>
      </c>
    </row>
    <row r="23" spans="2:2">
      <c r="B23" s="13" t="s">
        <v>58</v>
      </c>
    </row>
    <row r="24" spans="2:2">
      <c r="B24" s="36" t="s">
        <v>59</v>
      </c>
    </row>
    <row r="25" spans="2:2">
      <c r="B25" s="36" t="s">
        <v>60</v>
      </c>
    </row>
    <row r="26" spans="2:2">
      <c r="B26" s="36" t="s">
        <v>61</v>
      </c>
    </row>
    <row r="28" spans="2:2">
      <c r="B28" s="13" t="s">
        <v>62</v>
      </c>
    </row>
    <row r="29" spans="2:2">
      <c r="B29" s="35" t="s">
        <v>63</v>
      </c>
    </row>
    <row r="30" spans="2:2">
      <c r="B30" s="35" t="s">
        <v>89</v>
      </c>
    </row>
    <row r="31" spans="2:2">
      <c r="B31" s="35" t="s">
        <v>64</v>
      </c>
    </row>
    <row r="32" spans="2:2">
      <c r="B32" s="35" t="s">
        <v>65</v>
      </c>
    </row>
    <row r="33" spans="2:2">
      <c r="B33" s="35" t="s">
        <v>66</v>
      </c>
    </row>
    <row r="35" spans="2:2">
      <c r="B35" s="13" t="s">
        <v>67</v>
      </c>
    </row>
    <row r="36" spans="2:2">
      <c r="B36" s="36" t="s">
        <v>90</v>
      </c>
    </row>
    <row r="37" spans="2:2">
      <c r="B37" s="36" t="s">
        <v>91</v>
      </c>
    </row>
    <row r="38" spans="2:2">
      <c r="B38" s="36" t="s">
        <v>68</v>
      </c>
    </row>
    <row r="39" spans="2:2">
      <c r="B39" s="36"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zoomScale="50" zoomScaleNormal="50" workbookViewId="0">
      <selection activeCell="I16" sqref="I16"/>
    </sheetView>
  </sheetViews>
  <sheetFormatPr defaultRowHeight="15"/>
  <cols>
    <col min="1" max="1" width="26" bestFit="1" customWidth="1"/>
    <col min="2" max="2" width="20.140625" customWidth="1"/>
    <col min="3" max="3" width="22.42578125" bestFit="1" customWidth="1"/>
    <col min="4" max="4" width="30.5703125" customWidth="1"/>
  </cols>
  <sheetData>
    <row r="1" spans="1:4" ht="30" customHeight="1">
      <c r="A1" s="45" t="s">
        <v>0</v>
      </c>
      <c r="B1" s="40"/>
      <c r="C1" s="40"/>
      <c r="D1" s="40"/>
    </row>
    <row r="2" spans="1:4">
      <c r="A2" s="44" t="s">
        <v>1</v>
      </c>
      <c r="B2" s="40"/>
      <c r="C2" s="40"/>
      <c r="D2" s="40"/>
    </row>
    <row r="4" spans="1:4">
      <c r="A4" s="41" t="s">
        <v>2</v>
      </c>
      <c r="B4" s="40"/>
      <c r="C4" s="40"/>
      <c r="D4" s="40"/>
    </row>
    <row r="5" spans="1:4" ht="80.25" customHeight="1">
      <c r="A5" s="48" t="s">
        <v>94</v>
      </c>
      <c r="B5" s="48"/>
      <c r="C5" s="48"/>
      <c r="D5" s="48"/>
    </row>
    <row r="6" spans="1:4">
      <c r="A6" s="38" t="s">
        <v>3</v>
      </c>
      <c r="B6" s="1">
        <v>300</v>
      </c>
    </row>
    <row r="7" spans="1:4">
      <c r="A7" s="38" t="s">
        <v>4</v>
      </c>
      <c r="B7" s="1" t="s">
        <v>6</v>
      </c>
    </row>
    <row r="9" spans="1:4" ht="24.95" customHeight="1">
      <c r="A9" s="41" t="s">
        <v>5</v>
      </c>
      <c r="B9" s="40"/>
      <c r="C9" s="40"/>
      <c r="D9" s="40"/>
    </row>
    <row r="10" spans="1:4">
      <c r="B10" s="37" t="s">
        <v>92</v>
      </c>
      <c r="C10" s="37" t="s">
        <v>93</v>
      </c>
      <c r="D10" s="2" t="s">
        <v>6</v>
      </c>
    </row>
    <row r="11" spans="1:4">
      <c r="A11" t="s">
        <v>7</v>
      </c>
      <c r="B11" s="3">
        <v>0.17799999999999999</v>
      </c>
      <c r="C11" s="3">
        <v>0.16400000000000001</v>
      </c>
      <c r="D11" s="3">
        <v>0.27900000000000003</v>
      </c>
    </row>
    <row r="12" spans="1:4">
      <c r="A12" t="s">
        <v>26</v>
      </c>
      <c r="B12" s="4">
        <v>3</v>
      </c>
      <c r="C12" s="4">
        <v>3</v>
      </c>
      <c r="D12" s="4">
        <v>3</v>
      </c>
    </row>
    <row r="13" spans="1:4">
      <c r="A13" t="s">
        <v>8</v>
      </c>
      <c r="B13" s="4">
        <v>2</v>
      </c>
      <c r="C13" s="4">
        <v>2</v>
      </c>
      <c r="D13" s="4">
        <v>2</v>
      </c>
    </row>
    <row r="14" spans="1:4">
      <c r="A14" t="s">
        <v>9</v>
      </c>
      <c r="B14" s="3">
        <v>0.05</v>
      </c>
      <c r="C14" s="3">
        <v>0.05</v>
      </c>
      <c r="D14" s="3">
        <v>0.05</v>
      </c>
    </row>
    <row r="16" spans="1:4">
      <c r="A16" s="5" t="s">
        <v>10</v>
      </c>
    </row>
    <row r="17" spans="1:4">
      <c r="B17" s="6" t="s">
        <v>92</v>
      </c>
      <c r="C17" s="6" t="s">
        <v>93</v>
      </c>
      <c r="D17" s="6" t="s">
        <v>6</v>
      </c>
    </row>
    <row r="18" spans="1:4">
      <c r="A18" s="7" t="s">
        <v>11</v>
      </c>
      <c r="B18" s="8">
        <v>9.7300000000000008E-3</v>
      </c>
      <c r="C18" s="8">
        <v>1.0699999999999999E-2</v>
      </c>
      <c r="D18" s="8">
        <v>3.3300000000000003E-2</v>
      </c>
    </row>
    <row r="19" spans="1:4">
      <c r="A19" s="7" t="s">
        <v>12</v>
      </c>
      <c r="B19" s="8">
        <v>0.5</v>
      </c>
      <c r="C19" s="8">
        <v>0.5</v>
      </c>
      <c r="D19" s="8">
        <v>0.5</v>
      </c>
    </row>
    <row r="20" spans="1:4">
      <c r="A20" s="7" t="s">
        <v>13</v>
      </c>
      <c r="B20" s="8">
        <v>0</v>
      </c>
      <c r="C20" s="8">
        <v>0</v>
      </c>
      <c r="D20" s="8">
        <v>0</v>
      </c>
    </row>
    <row r="22" spans="1:4" ht="24.95" customHeight="1">
      <c r="A22" s="41" t="s">
        <v>14</v>
      </c>
      <c r="B22" s="40"/>
      <c r="C22" s="40"/>
      <c r="D22" s="40"/>
    </row>
    <row r="23" spans="1:4">
      <c r="A23" t="s">
        <v>15</v>
      </c>
      <c r="B23" s="9">
        <f>IF(B6="","", (B6 * INDEX($B$11:$D$11, MATCH(B7,$B$10:$D$10,0)) * INDEX($B$12:$D$12, MATCH(B7,$B$10:$D$10,0))) / 30)</f>
        <v>8.370000000000001</v>
      </c>
    </row>
    <row r="24" spans="1:4">
      <c r="A24" t="s">
        <v>16</v>
      </c>
      <c r="B24" s="9">
        <f>IF(B23="","", B23 * INDEX($B$13:$D$13, MATCH(B7,$B$10:$D$10,0)))</f>
        <v>16.740000000000002</v>
      </c>
    </row>
    <row r="25" spans="1:4">
      <c r="A25" t="s">
        <v>17</v>
      </c>
      <c r="B25" s="9">
        <f>IF(B24="","", B24 * (1 + INDEX($B$14:$D$14, MATCH(B7,$B$10:$D$10,0))))</f>
        <v>17.577000000000002</v>
      </c>
    </row>
    <row r="26" spans="1:4">
      <c r="A26" s="10" t="s">
        <v>18</v>
      </c>
      <c r="B26" s="11">
        <f>IF(B25="","", B25 * SQRT((INDEX($B$18:$D$18, MATCH(B7,$B$10:$D$10,0)) / INDEX($B$11:$D$11, MATCH(B7,$B$10:$D$10,0)))^2 + (B19/B12)^2 + (B20/B13)^2))</f>
        <v>3.6032144898687339</v>
      </c>
    </row>
    <row r="28" spans="1:4" ht="24.95" customHeight="1">
      <c r="A28" s="46" t="s">
        <v>19</v>
      </c>
      <c r="B28" s="40"/>
      <c r="C28" s="40"/>
      <c r="D28" s="40"/>
    </row>
    <row r="30" spans="1:4" ht="35.1" customHeight="1">
      <c r="A30" s="42" t="s">
        <v>20</v>
      </c>
      <c r="B30" s="47">
        <f>IF(B25="","", ROUNDUP(B25,0))</f>
        <v>18</v>
      </c>
      <c r="C30" s="40"/>
      <c r="D30" s="40"/>
    </row>
    <row r="31" spans="1:4" ht="35.1" customHeight="1">
      <c r="A31" s="43"/>
      <c r="B31" s="40"/>
      <c r="C31" s="40"/>
      <c r="D31" s="40"/>
    </row>
    <row r="33" spans="1:4" ht="15.75">
      <c r="A33" s="12" t="s">
        <v>21</v>
      </c>
      <c r="B33" s="39" t="str">
        <f>IF(B30="","", ROUNDUP(B30-1.96*B26,0) &amp; " to " &amp; ROUNDUP(B30+1.96*B26,0) &amp; " devices")</f>
        <v>11 to 26 devices</v>
      </c>
      <c r="C33" s="40"/>
      <c r="D33" s="40"/>
    </row>
  </sheetData>
  <mergeCells count="10">
    <mergeCell ref="B33:D33"/>
    <mergeCell ref="A22:D22"/>
    <mergeCell ref="A30:A31"/>
    <mergeCell ref="A2:D2"/>
    <mergeCell ref="A1:D1"/>
    <mergeCell ref="A28:D28"/>
    <mergeCell ref="A9:D9"/>
    <mergeCell ref="B30:D31"/>
    <mergeCell ref="A4:D4"/>
    <mergeCell ref="A5:D5"/>
  </mergeCells>
  <dataValidations count="1">
    <dataValidation type="list" sqref="B7" xr:uid="{00000000-0002-0000-0000-000000000000}">
      <formula1>"Level II-Basic,Level II-Comprehensive,Level III"</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7"/>
  <sheetViews>
    <sheetView zoomScale="85" zoomScaleNormal="85" workbookViewId="0">
      <selection activeCell="B30" sqref="B30"/>
    </sheetView>
  </sheetViews>
  <sheetFormatPr defaultRowHeight="15"/>
  <cols>
    <col min="1" max="1" width="106.7109375" style="16" customWidth="1"/>
    <col min="2" max="2" width="92" style="16" customWidth="1"/>
  </cols>
  <sheetData>
    <row r="1" spans="1:2">
      <c r="A1" s="24" t="s">
        <v>22</v>
      </c>
    </row>
    <row r="2" spans="1:2">
      <c r="A2" s="24"/>
    </row>
    <row r="3" spans="1:2">
      <c r="A3" s="24" t="s">
        <v>70</v>
      </c>
      <c r="B3" s="19" t="s">
        <v>23</v>
      </c>
    </row>
    <row r="4" spans="1:2" ht="60">
      <c r="A4" s="25" t="s">
        <v>71</v>
      </c>
      <c r="B4" s="15" t="s">
        <v>82</v>
      </c>
    </row>
    <row r="5" spans="1:2" ht="30">
      <c r="A5" s="26" t="s">
        <v>79</v>
      </c>
      <c r="B5" s="15" t="s">
        <v>43</v>
      </c>
    </row>
    <row r="6" spans="1:2" ht="60">
      <c r="A6" s="30" t="s">
        <v>72</v>
      </c>
      <c r="B6" s="15" t="s">
        <v>34</v>
      </c>
    </row>
    <row r="7" spans="1:2">
      <c r="A7" s="26" t="s">
        <v>78</v>
      </c>
      <c r="B7" s="15" t="s">
        <v>35</v>
      </c>
    </row>
    <row r="8" spans="1:2" ht="60">
      <c r="A8" s="29" t="s">
        <v>74</v>
      </c>
      <c r="B8" s="20" t="s">
        <v>36</v>
      </c>
    </row>
    <row r="9" spans="1:2">
      <c r="A9" s="27" t="s">
        <v>73</v>
      </c>
      <c r="B9" s="15" t="s">
        <v>37</v>
      </c>
    </row>
    <row r="10" spans="1:2">
      <c r="A10" s="34" t="s">
        <v>81</v>
      </c>
      <c r="B10" s="21" t="s">
        <v>39</v>
      </c>
    </row>
    <row r="11" spans="1:2" ht="60">
      <c r="A11" s="30" t="s">
        <v>80</v>
      </c>
      <c r="B11" s="15" t="s">
        <v>40</v>
      </c>
    </row>
    <row r="12" spans="1:2" ht="60">
      <c r="A12" s="33" t="s">
        <v>77</v>
      </c>
      <c r="B12" s="22" t="s">
        <v>41</v>
      </c>
    </row>
    <row r="13" spans="1:2" ht="30">
      <c r="A13" s="31" t="s">
        <v>75</v>
      </c>
      <c r="B13" s="23" t="s">
        <v>27</v>
      </c>
    </row>
    <row r="14" spans="1:2" ht="30">
      <c r="A14" s="32" t="s">
        <v>76</v>
      </c>
      <c r="B14" s="15" t="s">
        <v>42</v>
      </c>
    </row>
    <row r="15" spans="1:2">
      <c r="B15" s="15" t="s">
        <v>38</v>
      </c>
    </row>
    <row r="16" spans="1:2" ht="30">
      <c r="B16" s="15" t="s">
        <v>83</v>
      </c>
    </row>
    <row r="17" spans="1:2">
      <c r="A17" s="28"/>
      <c r="B17" s="23" t="s">
        <v>28</v>
      </c>
    </row>
    <row r="18" spans="1:2">
      <c r="B18" s="22" t="s">
        <v>84</v>
      </c>
    </row>
    <row r="19" spans="1:2">
      <c r="B19" s="22" t="s">
        <v>85</v>
      </c>
    </row>
    <row r="20" spans="1:2">
      <c r="B20" s="22" t="s">
        <v>86</v>
      </c>
    </row>
    <row r="21" spans="1:2">
      <c r="A21" s="28"/>
    </row>
    <row r="22" spans="1:2">
      <c r="A22" s="28"/>
    </row>
    <row r="23" spans="1:2">
      <c r="B23" s="19" t="s">
        <v>24</v>
      </c>
    </row>
    <row r="24" spans="1:2" ht="45">
      <c r="B24" s="22" t="s">
        <v>29</v>
      </c>
    </row>
    <row r="25" spans="1:2">
      <c r="B25" s="22" t="s">
        <v>25</v>
      </c>
    </row>
    <row r="26" spans="1:2" ht="30">
      <c r="B26" s="22" t="s">
        <v>30</v>
      </c>
    </row>
    <row r="27" spans="1:2">
      <c r="B27" s="22" t="s">
        <v>31</v>
      </c>
    </row>
    <row r="28" spans="1:2">
      <c r="B28" s="15"/>
    </row>
    <row r="29" spans="1:2">
      <c r="B29" s="23" t="s">
        <v>32</v>
      </c>
    </row>
    <row r="30" spans="1:2" ht="45">
      <c r="A30" s="28"/>
      <c r="B30" s="22" t="s">
        <v>33</v>
      </c>
    </row>
    <row r="40" spans="1:1">
      <c r="A40" s="19"/>
    </row>
    <row r="41" spans="1:1">
      <c r="A41" s="15"/>
    </row>
    <row r="42" spans="1:1">
      <c r="A42" s="15"/>
    </row>
    <row r="43" spans="1:1">
      <c r="A43" s="15"/>
    </row>
    <row r="44" spans="1:1">
      <c r="A44" s="15"/>
    </row>
    <row r="45" spans="1:1">
      <c r="A45" s="20"/>
    </row>
    <row r="46" spans="1:1">
      <c r="A46" s="15"/>
    </row>
    <row r="47" spans="1:1">
      <c r="A47" s="21"/>
    </row>
    <row r="48" spans="1:1">
      <c r="A48" s="15"/>
    </row>
    <row r="49" spans="1:1">
      <c r="A49" s="22"/>
    </row>
    <row r="51" spans="1:1">
      <c r="A51" s="23"/>
    </row>
    <row r="52" spans="1:1">
      <c r="A52" s="15"/>
    </row>
    <row r="53" spans="1:1">
      <c r="A53" s="15"/>
    </row>
    <row r="54" spans="1:1">
      <c r="A54" s="15"/>
    </row>
    <row r="55" spans="1:1">
      <c r="A55" s="23"/>
    </row>
    <row r="56" spans="1:1">
      <c r="A56" s="22"/>
    </row>
    <row r="57" spans="1:1">
      <c r="A57" s="22"/>
    </row>
    <row r="58" spans="1:1">
      <c r="A58" s="22"/>
    </row>
    <row r="60" spans="1:1">
      <c r="A60" s="19"/>
    </row>
    <row r="61" spans="1:1">
      <c r="A61" s="22"/>
    </row>
    <row r="62" spans="1:1">
      <c r="A62" s="22"/>
    </row>
    <row r="63" spans="1:1">
      <c r="A63" s="22"/>
    </row>
    <row r="64" spans="1:1">
      <c r="A64" s="22"/>
    </row>
    <row r="65" spans="1:1">
      <c r="A65" s="15"/>
    </row>
    <row r="66" spans="1:1">
      <c r="A66" s="23"/>
    </row>
    <row r="67" spans="1:1">
      <c r="A67" s="22"/>
    </row>
  </sheetData>
  <hyperlinks>
    <hyperlink ref="A14" r:id="rId1" xr:uid="{121D155C-6265-4485-A399-2A361027528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Use </vt:lpstr>
      <vt:lpstr>CPAP Calculator</vt:lpstr>
      <vt:lpstr>Parameter 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Mwangi</cp:lastModifiedBy>
  <dcterms:created xsi:type="dcterms:W3CDTF">2026-03-17T09:08:17Z</dcterms:created>
  <dcterms:modified xsi:type="dcterms:W3CDTF">2026-08-13T12:56:02Z</dcterms:modified>
</cp:coreProperties>
</file>